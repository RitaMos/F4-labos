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a6626b71332f3d1/Documentos/ITBA/2026-2C/F4/TP1/"/>
    </mc:Choice>
  </mc:AlternateContent>
  <xr:revisionPtr revIDLastSave="708" documentId="11_A455E61C78330EF5B78ED160A09CA3DBF0433BE0" xr6:coauthVersionLast="47" xr6:coauthVersionMax="47" xr10:uidLastSave="{37C5B88B-EA6B-442B-BAA8-B11E04A94234}"/>
  <bookViews>
    <workbookView xWindow="-19310" yWindow="-690" windowWidth="19420" windowHeight="1150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 a="1"/>
  <c r="I21" i="1" s="1"/>
  <c r="I23" i="1" a="1"/>
  <c r="I23" i="1" s="1"/>
  <c r="H52" i="1"/>
  <c r="H51" i="1"/>
  <c r="H50" i="1"/>
  <c r="H49" i="1"/>
  <c r="G32" i="1"/>
  <c r="J21" i="1" a="1"/>
  <c r="J21" i="1" s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1" i="1"/>
  <c r="G30" i="1"/>
  <c r="G29" i="1"/>
  <c r="G28" i="1"/>
  <c r="G27" i="1"/>
  <c r="G26" i="1"/>
  <c r="G25" i="1"/>
  <c r="G24" i="1"/>
  <c r="G23" i="1"/>
  <c r="G22" i="1"/>
  <c r="G21" i="1" l="1"/>
  <c r="C10" i="1" l="1"/>
  <c r="C12" i="1"/>
  <c r="C16" i="1"/>
  <c r="J9" i="1" s="1"/>
  <c r="C7" i="1"/>
  <c r="C17" i="1" l="1"/>
  <c r="M14" i="1"/>
  <c r="M6" i="1"/>
  <c r="M13" i="1"/>
  <c r="M7" i="1"/>
  <c r="M12" i="1"/>
  <c r="M11" i="1"/>
  <c r="M9" i="1"/>
  <c r="M15" i="1"/>
  <c r="M10" i="1"/>
  <c r="M5" i="1"/>
  <c r="M16" i="1"/>
  <c r="M8" i="1"/>
  <c r="J6" i="1"/>
  <c r="J8" i="1"/>
  <c r="K8" i="1" s="1"/>
  <c r="L8" i="1" s="1"/>
  <c r="J14" i="1"/>
  <c r="K14" i="1" s="1"/>
  <c r="L14" i="1" s="1"/>
  <c r="J10" i="1"/>
  <c r="K10" i="1" s="1"/>
  <c r="L10" i="1" s="1"/>
  <c r="K9" i="1"/>
  <c r="L9" i="1" s="1"/>
  <c r="J13" i="1"/>
  <c r="K13" i="1" s="1"/>
  <c r="L13" i="1" s="1"/>
  <c r="J7" i="1"/>
  <c r="J11" i="1"/>
  <c r="K11" i="1" s="1"/>
  <c r="L11" i="1" s="1"/>
  <c r="J15" i="1"/>
  <c r="K15" i="1" s="1"/>
  <c r="L15" i="1" s="1"/>
  <c r="J5" i="1"/>
  <c r="K5" i="1" s="1"/>
  <c r="J12" i="1"/>
  <c r="K12" i="1" s="1"/>
  <c r="L12" i="1" s="1"/>
  <c r="J16" i="1"/>
  <c r="K16" i="1" s="1"/>
  <c r="L16" i="1" s="1"/>
  <c r="N5" i="1" l="1"/>
  <c r="K7" i="1"/>
  <c r="L7" i="1" s="1"/>
  <c r="L5" i="1"/>
  <c r="N10" i="1"/>
  <c r="O10" i="1" s="1"/>
  <c r="R10" i="1" s="1"/>
  <c r="N9" i="1"/>
  <c r="O9" i="1" s="1"/>
  <c r="R9" i="1" s="1"/>
  <c r="N16" i="1"/>
  <c r="O16" i="1" s="1"/>
  <c r="N8" i="1"/>
  <c r="O8" i="1" s="1"/>
  <c r="N15" i="1"/>
  <c r="O15" i="1" s="1"/>
  <c r="Q15" i="1" s="1"/>
  <c r="N7" i="1"/>
  <c r="N14" i="1"/>
  <c r="O14" i="1" s="1"/>
  <c r="N6" i="1"/>
  <c r="N13" i="1"/>
  <c r="O13" i="1" s="1"/>
  <c r="N12" i="1"/>
  <c r="O12" i="1" s="1"/>
  <c r="N11" i="1"/>
  <c r="O11" i="1" s="1"/>
  <c r="K6" i="1"/>
  <c r="L6" i="1" s="1"/>
  <c r="H21" i="1" l="1" a="1"/>
  <c r="H21" i="1" s="1"/>
  <c r="Q13" i="1"/>
  <c r="R13" i="1"/>
  <c r="R14" i="1"/>
  <c r="Q14" i="1"/>
  <c r="H40" i="1" a="1"/>
  <c r="H40" i="1" s="1"/>
  <c r="R8" i="1"/>
  <c r="Q8" i="1"/>
  <c r="O7" i="1"/>
  <c r="R7" i="1" s="1"/>
  <c r="H33" i="1" a="1"/>
  <c r="H33" i="1" s="1"/>
  <c r="H38" i="1" a="1"/>
  <c r="H38" i="1" s="1"/>
  <c r="H28" i="1" a="1"/>
  <c r="H28" i="1" s="1"/>
  <c r="Q11" i="1"/>
  <c r="R11" i="1"/>
  <c r="R16" i="1"/>
  <c r="Q16" i="1"/>
  <c r="Q12" i="1"/>
  <c r="R12" i="1"/>
  <c r="H24" i="1" a="1"/>
  <c r="H24" i="1" s="1"/>
  <c r="H39" i="1" a="1"/>
  <c r="H39" i="1" s="1"/>
  <c r="H43" i="1" a="1"/>
  <c r="H43" i="1" s="1"/>
  <c r="O5" i="1"/>
  <c r="R5" i="1" s="1"/>
  <c r="H34" i="1" a="1"/>
  <c r="H34" i="1" s="1"/>
  <c r="H25" i="1" a="1"/>
  <c r="H25" i="1" s="1"/>
  <c r="H36" i="1" a="1"/>
  <c r="H36" i="1" s="1"/>
  <c r="H41" i="1" a="1"/>
  <c r="H41" i="1" s="1"/>
  <c r="H42" i="1" a="1"/>
  <c r="H42" i="1" s="1"/>
  <c r="Q10" i="1"/>
  <c r="H30" i="1" a="1"/>
  <c r="H30" i="1" s="1"/>
  <c r="H26" i="1" a="1"/>
  <c r="H26" i="1" s="1"/>
  <c r="H44" i="1" a="1"/>
  <c r="H44" i="1" s="1"/>
  <c r="H46" i="1" a="1"/>
  <c r="H46" i="1" s="1"/>
  <c r="H35" i="1" a="1"/>
  <c r="H35" i="1" s="1"/>
  <c r="H22" i="1" a="1"/>
  <c r="H22" i="1" s="1"/>
  <c r="H31" i="1" a="1"/>
  <c r="H31" i="1" s="1"/>
  <c r="H37" i="1" a="1"/>
  <c r="H37" i="1" s="1"/>
  <c r="O6" i="1"/>
  <c r="R6" i="1" s="1"/>
  <c r="Q9" i="1"/>
  <c r="H29" i="1" a="1"/>
  <c r="H29" i="1" s="1"/>
  <c r="R15" i="1"/>
  <c r="H27" i="1" a="1"/>
  <c r="H27" i="1" s="1"/>
  <c r="H32" i="1" a="1"/>
  <c r="H32" i="1" s="1"/>
  <c r="H23" i="1" a="1"/>
  <c r="H23" i="1" s="1"/>
  <c r="H45" i="1" a="1"/>
  <c r="H45" i="1" s="1"/>
  <c r="J40" i="1" l="1" a="1"/>
  <c r="J40" i="1" s="1"/>
  <c r="J32" i="1" a="1"/>
  <c r="J32" i="1" s="1"/>
  <c r="J24" i="1" a="1"/>
  <c r="J24" i="1" s="1"/>
  <c r="J27" i="1" a="1"/>
  <c r="J27" i="1" s="1"/>
  <c r="J39" i="1" a="1"/>
  <c r="J39" i="1" s="1"/>
  <c r="J31" i="1" a="1"/>
  <c r="J31" i="1" s="1"/>
  <c r="J23" i="1" a="1"/>
  <c r="J23" i="1" s="1"/>
  <c r="J46" i="1" a="1"/>
  <c r="J46" i="1" s="1"/>
  <c r="J38" i="1" a="1"/>
  <c r="J38" i="1" s="1"/>
  <c r="J30" i="1" a="1"/>
  <c r="J30" i="1" s="1"/>
  <c r="J22" i="1" a="1"/>
  <c r="J22" i="1" s="1"/>
  <c r="J35" i="1" a="1"/>
  <c r="J35" i="1" s="1"/>
  <c r="J45" i="1" a="1"/>
  <c r="J45" i="1" s="1"/>
  <c r="J37" i="1" a="1"/>
  <c r="J37" i="1" s="1"/>
  <c r="J29" i="1" a="1"/>
  <c r="J29" i="1" s="1"/>
  <c r="J43" i="1" a="1"/>
  <c r="J43" i="1" s="1"/>
  <c r="J44" i="1" a="1"/>
  <c r="J44" i="1" s="1"/>
  <c r="J36" i="1" a="1"/>
  <c r="J36" i="1" s="1"/>
  <c r="J28" i="1" a="1"/>
  <c r="J28" i="1" s="1"/>
  <c r="J42" i="1" a="1"/>
  <c r="J42" i="1" s="1"/>
  <c r="J34" i="1" a="1"/>
  <c r="J34" i="1" s="1"/>
  <c r="J26" i="1" a="1"/>
  <c r="J26" i="1" s="1"/>
  <c r="J41" i="1" a="1"/>
  <c r="J41" i="1" s="1"/>
  <c r="J33" i="1" a="1"/>
  <c r="J33" i="1" s="1"/>
  <c r="J25" i="1" a="1"/>
  <c r="J25" i="1" s="1"/>
  <c r="Q5" i="1"/>
  <c r="Q7" i="1"/>
  <c r="Q6" i="1"/>
  <c r="I43" i="1" l="1" a="1"/>
  <c r="I43" i="1" s="1"/>
  <c r="I34" i="1" a="1"/>
  <c r="I34" i="1" s="1"/>
  <c r="I26" i="1" a="1"/>
  <c r="I26" i="1" s="1"/>
  <c r="I35" i="1" a="1"/>
  <c r="I35" i="1" s="1"/>
  <c r="I42" i="1" a="1"/>
  <c r="I42" i="1" s="1"/>
  <c r="I33" i="1" a="1"/>
  <c r="I33" i="1" s="1"/>
  <c r="I25" i="1" a="1"/>
  <c r="I25" i="1" s="1"/>
  <c r="I38" i="1" a="1"/>
  <c r="I38" i="1" s="1"/>
  <c r="I40" i="1" a="1"/>
  <c r="I40" i="1" s="1"/>
  <c r="I31" i="1" a="1"/>
  <c r="I31" i="1" s="1"/>
  <c r="I24" i="1" a="1"/>
  <c r="I24" i="1" s="1"/>
  <c r="I44" i="1" a="1"/>
  <c r="I44" i="1" s="1"/>
  <c r="I41" i="1" a="1"/>
  <c r="I41" i="1" s="1"/>
  <c r="I32" i="1" a="1"/>
  <c r="I32" i="1" s="1"/>
  <c r="I29" i="1" a="1"/>
  <c r="I29" i="1" s="1"/>
  <c r="I27" i="1" a="1"/>
  <c r="I27" i="1" s="1"/>
  <c r="I36" i="1" a="1"/>
  <c r="I36" i="1" s="1"/>
  <c r="I39" i="1" a="1"/>
  <c r="I39" i="1" s="1"/>
  <c r="I30" i="1" a="1"/>
  <c r="I30" i="1" s="1"/>
  <c r="I22" i="1" a="1"/>
  <c r="I22" i="1" s="1"/>
  <c r="I46" i="1" a="1"/>
  <c r="I46" i="1" s="1"/>
  <c r="I45" i="1" a="1"/>
  <c r="I45" i="1" s="1"/>
  <c r="I37" i="1" a="1"/>
  <c r="I37" i="1" s="1"/>
  <c r="I28" i="1" a="1"/>
  <c r="I2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<sst xmlns="http://schemas.openxmlformats.org/spreadsheetml/2006/main" count="50" uniqueCount="47">
  <si>
    <t>Mediciones</t>
  </si>
  <si>
    <t xml:space="preserve">Gota </t>
  </si>
  <si>
    <t>Tension de frenado (V)</t>
  </si>
  <si>
    <t>a^2</t>
  </si>
  <si>
    <t>Nombre</t>
  </si>
  <si>
    <t>Valor</t>
  </si>
  <si>
    <t>Unidad</t>
  </si>
  <si>
    <t>nu</t>
  </si>
  <si>
    <t>Ns/m^2</t>
  </si>
  <si>
    <t>ro</t>
  </si>
  <si>
    <t>g/ml</t>
  </si>
  <si>
    <t>sigma 🗿</t>
  </si>
  <si>
    <t>d</t>
  </si>
  <si>
    <t>g</t>
  </si>
  <si>
    <t>divisiones</t>
  </si>
  <si>
    <t>ancho de una division</t>
  </si>
  <si>
    <t>m</t>
  </si>
  <si>
    <t>q</t>
  </si>
  <si>
    <t>m/s^2</t>
  </si>
  <si>
    <t>pi</t>
  </si>
  <si>
    <t>-</t>
  </si>
  <si>
    <t>C</t>
  </si>
  <si>
    <t>e</t>
  </si>
  <si>
    <t>|e|</t>
  </si>
  <si>
    <t>dist recorrida</t>
  </si>
  <si>
    <t>incertezas</t>
  </si>
  <si>
    <t>Cálculo de q</t>
  </si>
  <si>
    <t>Cálculos de incertezas</t>
  </si>
  <si>
    <t>delta v_L</t>
  </si>
  <si>
    <t>t (segs)</t>
  </si>
  <si>
    <t>9/2*nu/(g(ro-sigma))</t>
  </si>
  <si>
    <t>delta a</t>
  </si>
  <si>
    <t>velocidad terminal v_L</t>
  </si>
  <si>
    <t>delta q</t>
  </si>
  <si>
    <t>q-delta q</t>
  </si>
  <si>
    <t>q+delta q</t>
  </si>
  <si>
    <t>Cálculos auxiliares</t>
  </si>
  <si>
    <t>f(e, q)</t>
  </si>
  <si>
    <t>Universales</t>
  </si>
  <si>
    <t>CONSTANTES</t>
  </si>
  <si>
    <t>Auxiliares</t>
  </si>
  <si>
    <t>f(e, q + delta q)</t>
  </si>
  <si>
    <t>e+</t>
  </si>
  <si>
    <t>e-</t>
  </si>
  <si>
    <t>(e+ + e-)/2</t>
  </si>
  <si>
    <t>(e+ - e-)/2</t>
  </si>
  <si>
    <t>f(e, q - delta 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</si>
</sst>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E+00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4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11" xfId="0" applyFont="1" applyBorder="1"/>
    <xf numFmtId="0" fontId="1" fillId="0" borderId="12" xfId="0" applyFont="1" applyBorder="1"/>
    <xf numFmtId="0" fontId="0" fillId="0" borderId="11" xfId="0" applyBorder="1"/>
    <xf numFmtId="0" fontId="0" fillId="0" borderId="12" xfId="0" applyBorder="1"/>
    <xf numFmtId="0" fontId="1" fillId="0" borderId="9" xfId="0" applyFont="1" applyBorder="1"/>
    <xf numFmtId="0" fontId="5" fillId="0" borderId="9" xfId="0" applyFont="1" applyBorder="1"/>
    <xf numFmtId="164" fontId="1" fillId="0" borderId="12" xfId="1" applyNumberFormat="1" applyFont="1" applyBorder="1"/>
    <xf numFmtId="0" fontId="5" fillId="0" borderId="0" xfId="0" applyFont="1"/>
    <xf numFmtId="0" fontId="5" fillId="0" borderId="10" xfId="0" applyFont="1" applyBorder="1"/>
    <xf numFmtId="164" fontId="5" fillId="0" borderId="12" xfId="0" applyNumberFormat="1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4" xfId="0" applyFont="1" applyBorder="1"/>
    <xf numFmtId="164" fontId="1" fillId="0" borderId="26" xfId="0" applyNumberFormat="1" applyFont="1" applyBorder="1"/>
    <xf numFmtId="164" fontId="1" fillId="0" borderId="26" xfId="1" applyNumberFormat="1" applyFont="1" applyBorder="1"/>
    <xf numFmtId="164" fontId="1" fillId="0" borderId="28" xfId="0" applyNumberFormat="1" applyFont="1" applyBorder="1"/>
    <xf numFmtId="164" fontId="1" fillId="0" borderId="29" xfId="1" applyNumberFormat="1" applyFont="1" applyBorder="1"/>
    <xf numFmtId="0" fontId="5" fillId="0" borderId="24" xfId="0" applyFont="1" applyBorder="1"/>
    <xf numFmtId="0" fontId="5" fillId="0" borderId="25" xfId="0" applyFont="1" applyBorder="1"/>
    <xf numFmtId="164" fontId="0" fillId="0" borderId="26" xfId="0" applyNumberFormat="1" applyBorder="1"/>
    <xf numFmtId="0" fontId="0" fillId="0" borderId="27" xfId="0" applyBorder="1"/>
    <xf numFmtId="164" fontId="0" fillId="0" borderId="28" xfId="0" applyNumberFormat="1" applyBorder="1"/>
    <xf numFmtId="164" fontId="5" fillId="0" borderId="29" xfId="0" applyNumberFormat="1" applyFont="1" applyBorder="1"/>
    <xf numFmtId="0" fontId="0" fillId="0" borderId="30" xfId="0" applyBorder="1"/>
    <xf numFmtId="0" fontId="0" fillId="2" borderId="13" xfId="0" applyFill="1" applyBorder="1"/>
    <xf numFmtId="0" fontId="0" fillId="2" borderId="34" xfId="0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4" fillId="0" borderId="22" xfId="0" applyFont="1" applyBorder="1"/>
    <xf numFmtId="0" fontId="0" fillId="0" borderId="26" xfId="0" applyBorder="1"/>
    <xf numFmtId="0" fontId="0" fillId="0" borderId="28" xfId="0" applyBorder="1"/>
    <xf numFmtId="164" fontId="4" fillId="0" borderId="14" xfId="0" applyNumberFormat="1" applyFont="1" applyBorder="1"/>
    <xf numFmtId="164" fontId="0" fillId="0" borderId="14" xfId="0" applyNumberFormat="1" applyBorder="1"/>
    <xf numFmtId="164" fontId="0" fillId="0" borderId="37" xfId="0" applyNumberFormat="1" applyBorder="1"/>
    <xf numFmtId="0" fontId="4" fillId="0" borderId="23" xfId="0" applyFont="1" applyBorder="1"/>
    <xf numFmtId="0" fontId="0" fillId="0" borderId="38" xfId="0" applyBorder="1"/>
    <xf numFmtId="0" fontId="0" fillId="0" borderId="29" xfId="0" applyBorder="1"/>
    <xf numFmtId="0" fontId="4" fillId="0" borderId="0" xfId="0" applyFont="1"/>
    <xf numFmtId="0" fontId="1" fillId="0" borderId="42" xfId="0" applyFont="1" applyBorder="1"/>
    <xf numFmtId="0" fontId="1" fillId="0" borderId="43" xfId="0" applyFont="1" applyBorder="1"/>
    <xf numFmtId="0" fontId="1" fillId="0" borderId="8" xfId="0" applyFont="1" applyBorder="1"/>
    <xf numFmtId="0" fontId="5" fillId="0" borderId="20" xfId="0" applyFont="1" applyBorder="1"/>
    <xf numFmtId="0" fontId="5" fillId="0" borderId="8" xfId="0" applyFont="1" applyBorder="1"/>
    <xf numFmtId="0" fontId="1" fillId="0" borderId="44" xfId="0" applyFont="1" applyBorder="1"/>
    <xf numFmtId="0" fontId="1" fillId="0" borderId="38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4" fillId="0" borderId="33" xfId="0" applyFont="1" applyBorder="1"/>
    <xf numFmtId="0" fontId="0" fillId="3" borderId="27" xfId="0" applyFill="1" applyBorder="1"/>
    <xf numFmtId="0" fontId="0" fillId="3" borderId="12" xfId="0" applyFill="1" applyBorder="1"/>
    <xf numFmtId="0" fontId="0" fillId="3" borderId="26" xfId="0" applyFill="1" applyBorder="1"/>
    <xf numFmtId="0" fontId="5" fillId="0" borderId="4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164" fontId="0" fillId="0" borderId="27" xfId="0" applyNumberFormat="1" applyBorder="1"/>
    <xf numFmtId="164" fontId="0" fillId="0" borderId="30" xfId="0" applyNumberForma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333895450568679"/>
          <c:y val="0.14411177644710579"/>
          <c:w val="0.8360548993875766"/>
          <c:h val="0.65636726546906188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'Hoja 1'!$H$20</c:f>
              <c:strCache>
                <c:ptCount val="1"/>
                <c:pt idx="0">
                  <c:v>f(e, q)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'Hoja 1'!$G$21:$G$36</c:f>
              <c:numCache>
                <c:formatCode>General</c:formatCode>
                <c:ptCount val="16"/>
                <c:pt idx="0">
                  <c:v>9.9999999999999998E-20</c:v>
                </c:pt>
                <c:pt idx="1">
                  <c:v>1.0279999999999999E-19</c:v>
                </c:pt>
                <c:pt idx="2">
                  <c:v>1.056E-19</c:v>
                </c:pt>
                <c:pt idx="3">
                  <c:v>1.084E-19</c:v>
                </c:pt>
                <c:pt idx="4">
                  <c:v>1.1120000000000001E-19</c:v>
                </c:pt>
                <c:pt idx="5">
                  <c:v>1.14E-19</c:v>
                </c:pt>
                <c:pt idx="6">
                  <c:v>1.168E-19</c:v>
                </c:pt>
                <c:pt idx="7">
                  <c:v>1.196E-19</c:v>
                </c:pt>
                <c:pt idx="8">
                  <c:v>1.2239999999999999E-19</c:v>
                </c:pt>
                <c:pt idx="9">
                  <c:v>1.2519999999999999E-19</c:v>
                </c:pt>
                <c:pt idx="10">
                  <c:v>1.2799999999999999E-19</c:v>
                </c:pt>
                <c:pt idx="11">
                  <c:v>1.3080000000000001E-19</c:v>
                </c:pt>
                <c:pt idx="12">
                  <c:v>1.3359999999999998E-19</c:v>
                </c:pt>
                <c:pt idx="13">
                  <c:v>1.3639999999999998E-19</c:v>
                </c:pt>
                <c:pt idx="14">
                  <c:v>1.392E-19</c:v>
                </c:pt>
                <c:pt idx="15">
                  <c:v>1.42E-19</c:v>
                </c:pt>
              </c:numCache>
            </c:numRef>
          </c:xVal>
          <c:yVal>
            <c:numRef>
              <c:f>'Hoja 1'!$H$21:$H$36</c:f>
              <c:numCache>
                <c:formatCode>General</c:formatCode>
                <c:ptCount val="16"/>
                <c:pt idx="0">
                  <c:v>2.9828649390387598</c:v>
                </c:pt>
                <c:pt idx="1">
                  <c:v>3.857477652835466</c:v>
                </c:pt>
                <c:pt idx="2">
                  <c:v>5.5574422691643948</c:v>
                </c:pt>
                <c:pt idx="3">
                  <c:v>4.1382461471802863</c:v>
                </c:pt>
                <c:pt idx="4">
                  <c:v>3.2828762285659914</c:v>
                </c:pt>
                <c:pt idx="5">
                  <c:v>4.4978354407077097</c:v>
                </c:pt>
                <c:pt idx="6">
                  <c:v>3.8779843369651021</c:v>
                </c:pt>
                <c:pt idx="7">
                  <c:v>5.1125539223378391</c:v>
                </c:pt>
                <c:pt idx="8">
                  <c:v>5.1576563326390632</c:v>
                </c:pt>
                <c:pt idx="9">
                  <c:v>6.1558214527243891</c:v>
                </c:pt>
                <c:pt idx="10">
                  <c:v>4.2257541504203084</c:v>
                </c:pt>
                <c:pt idx="11">
                  <c:v>3.0866308382184662</c:v>
                </c:pt>
                <c:pt idx="12">
                  <c:v>2.5735782660836843</c:v>
                </c:pt>
                <c:pt idx="13">
                  <c:v>6.1901185892839825</c:v>
                </c:pt>
                <c:pt idx="14">
                  <c:v>2.7110882675497061</c:v>
                </c:pt>
                <c:pt idx="15">
                  <c:v>2.5107874114261617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E2-429D-A0ED-AF9E4CCE1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571343"/>
        <c:axId val="1213110719"/>
      </c:scatterChart>
      <c:valAx>
        <c:axId val="1816571343"/>
        <c:scaling>
          <c:orientation val="minMax"/>
          <c:min val="9.0000000000000099E-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13110719"/>
        <c:crosses val="autoZero"/>
        <c:crossBetween val="midCat"/>
      </c:valAx>
      <c:valAx>
        <c:axId val="121311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1657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5.0644840447575633E-2"/>
          <c:y val="0.14468942442031288"/>
          <c:w val="0.87893410692084539"/>
          <c:h val="0.65098185378058593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'Hoja 1'!$I$20</c:f>
              <c:strCache>
                <c:ptCount val="1"/>
                <c:pt idx="0">
                  <c:v>f(e, q - delta q)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'Hoja 1'!$G$21:$G$46</c:f>
              <c:numCache>
                <c:formatCode>General</c:formatCode>
                <c:ptCount val="26"/>
                <c:pt idx="0">
                  <c:v>9.9999999999999998E-20</c:v>
                </c:pt>
                <c:pt idx="1">
                  <c:v>1.0279999999999999E-19</c:v>
                </c:pt>
                <c:pt idx="2">
                  <c:v>1.056E-19</c:v>
                </c:pt>
                <c:pt idx="3">
                  <c:v>1.084E-19</c:v>
                </c:pt>
                <c:pt idx="4">
                  <c:v>1.1120000000000001E-19</c:v>
                </c:pt>
                <c:pt idx="5">
                  <c:v>1.14E-19</c:v>
                </c:pt>
                <c:pt idx="6">
                  <c:v>1.168E-19</c:v>
                </c:pt>
                <c:pt idx="7">
                  <c:v>1.196E-19</c:v>
                </c:pt>
                <c:pt idx="8">
                  <c:v>1.2239999999999999E-19</c:v>
                </c:pt>
                <c:pt idx="9">
                  <c:v>1.2519999999999999E-19</c:v>
                </c:pt>
                <c:pt idx="10">
                  <c:v>1.2799999999999999E-19</c:v>
                </c:pt>
                <c:pt idx="11">
                  <c:v>1.3080000000000001E-19</c:v>
                </c:pt>
                <c:pt idx="12">
                  <c:v>1.3359999999999998E-19</c:v>
                </c:pt>
                <c:pt idx="13">
                  <c:v>1.3639999999999998E-19</c:v>
                </c:pt>
                <c:pt idx="14">
                  <c:v>1.392E-19</c:v>
                </c:pt>
                <c:pt idx="15">
                  <c:v>1.42E-19</c:v>
                </c:pt>
                <c:pt idx="16">
                  <c:v>1.4479999999999999E-19</c:v>
                </c:pt>
                <c:pt idx="17">
                  <c:v>1.4759999999999999E-19</c:v>
                </c:pt>
                <c:pt idx="18">
                  <c:v>1.5039999999999999E-19</c:v>
                </c:pt>
                <c:pt idx="19">
                  <c:v>1.5320000000000001E-19</c:v>
                </c:pt>
                <c:pt idx="20">
                  <c:v>1.56E-19</c:v>
                </c:pt>
                <c:pt idx="21">
                  <c:v>1.588E-19</c:v>
                </c:pt>
                <c:pt idx="22">
                  <c:v>1.616E-19</c:v>
                </c:pt>
                <c:pt idx="23">
                  <c:v>1.6439999999999999E-19</c:v>
                </c:pt>
                <c:pt idx="24">
                  <c:v>1.6719999999999999E-19</c:v>
                </c:pt>
                <c:pt idx="25">
                  <c:v>1.6999999999999999E-19</c:v>
                </c:pt>
              </c:numCache>
            </c:numRef>
          </c:xVal>
          <c:yVal>
            <c:numRef>
              <c:f>'Hoja 1'!$I$21:$I$46</c:f>
              <c:numCache>
                <c:formatCode>General</c:formatCode>
                <c:ptCount val="26"/>
                <c:pt idx="0">
                  <c:v>5.8891910636335227</c:v>
                </c:pt>
                <c:pt idx="1">
                  <c:v>2.5706934594151596</c:v>
                </c:pt>
                <c:pt idx="2">
                  <c:v>4.2866694226677016</c:v>
                </c:pt>
                <c:pt idx="3">
                  <c:v>3.7830653839124646</c:v>
                </c:pt>
                <c:pt idx="4">
                  <c:v>3.584729204333581</c:v>
                </c:pt>
                <c:pt idx="5">
                  <c:v>4.5052614288174135</c:v>
                </c:pt>
                <c:pt idx="6">
                  <c:v>5.0359956446459631</c:v>
                </c:pt>
                <c:pt idx="7">
                  <c:v>4.7138100397172664</c:v>
                </c:pt>
                <c:pt idx="8">
                  <c:v>5.0882608701331478</c:v>
                </c:pt>
                <c:pt idx="9">
                  <c:v>3.2347659470855405</c:v>
                </c:pt>
                <c:pt idx="10">
                  <c:v>4.1620490938751109</c:v>
                </c:pt>
                <c:pt idx="11">
                  <c:v>5.104900037263306</c:v>
                </c:pt>
                <c:pt idx="12">
                  <c:v>4.8267297873690351</c:v>
                </c:pt>
                <c:pt idx="13">
                  <c:v>3.1360051566457203</c:v>
                </c:pt>
                <c:pt idx="14">
                  <c:v>4.6905513541458124</c:v>
                </c:pt>
                <c:pt idx="15">
                  <c:v>4.2048474936294307</c:v>
                </c:pt>
                <c:pt idx="16">
                  <c:v>1.9957766539867345</c:v>
                </c:pt>
                <c:pt idx="17">
                  <c:v>3.7529847689025768</c:v>
                </c:pt>
                <c:pt idx="18">
                  <c:v>2.4891584476630295</c:v>
                </c:pt>
                <c:pt idx="19">
                  <c:v>3.6309702983981555</c:v>
                </c:pt>
                <c:pt idx="20">
                  <c:v>2.6072536343234356</c:v>
                </c:pt>
                <c:pt idx="21">
                  <c:v>5.0349651044122501</c:v>
                </c:pt>
                <c:pt idx="22">
                  <c:v>4.3708836289837718</c:v>
                </c:pt>
                <c:pt idx="23">
                  <c:v>4.9621603649377937</c:v>
                </c:pt>
                <c:pt idx="24">
                  <c:v>3.7718179872560871</c:v>
                </c:pt>
                <c:pt idx="25">
                  <c:v>3.4545738172467209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15-4287-ABD8-34D47FD42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703472"/>
        <c:axId val="572470496"/>
      </c:scatterChart>
      <c:valAx>
        <c:axId val="1009703472"/>
        <c:scaling>
          <c:orientation val="minMax"/>
          <c:min val="9.0000000000002217E-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72470496"/>
        <c:crosses val="autoZero"/>
        <c:crossBetween val="midCat"/>
      </c:valAx>
      <c:valAx>
        <c:axId val="57247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097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8465346004561545E-2"/>
          <c:y val="0.14857353591210351"/>
          <c:w val="0.88414416265155082"/>
          <c:h val="0.67042191812074103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'Hoja 1'!$J$20</c:f>
              <c:strCache>
                <c:ptCount val="1"/>
                <c:pt idx="0">
                  <c:v>f(e, q + delta q)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'Hoja 1'!$G$21:$G$46</c:f>
              <c:numCache>
                <c:formatCode>General</c:formatCode>
                <c:ptCount val="26"/>
                <c:pt idx="0">
                  <c:v>9.9999999999999998E-20</c:v>
                </c:pt>
                <c:pt idx="1">
                  <c:v>1.0279999999999999E-19</c:v>
                </c:pt>
                <c:pt idx="2">
                  <c:v>1.056E-19</c:v>
                </c:pt>
                <c:pt idx="3">
                  <c:v>1.084E-19</c:v>
                </c:pt>
                <c:pt idx="4">
                  <c:v>1.1120000000000001E-19</c:v>
                </c:pt>
                <c:pt idx="5">
                  <c:v>1.14E-19</c:v>
                </c:pt>
                <c:pt idx="6">
                  <c:v>1.168E-19</c:v>
                </c:pt>
                <c:pt idx="7">
                  <c:v>1.196E-19</c:v>
                </c:pt>
                <c:pt idx="8">
                  <c:v>1.2239999999999999E-19</c:v>
                </c:pt>
                <c:pt idx="9">
                  <c:v>1.2519999999999999E-19</c:v>
                </c:pt>
                <c:pt idx="10">
                  <c:v>1.2799999999999999E-19</c:v>
                </c:pt>
                <c:pt idx="11">
                  <c:v>1.3080000000000001E-19</c:v>
                </c:pt>
                <c:pt idx="12">
                  <c:v>1.3359999999999998E-19</c:v>
                </c:pt>
                <c:pt idx="13">
                  <c:v>1.3639999999999998E-19</c:v>
                </c:pt>
                <c:pt idx="14">
                  <c:v>1.392E-19</c:v>
                </c:pt>
                <c:pt idx="15">
                  <c:v>1.42E-19</c:v>
                </c:pt>
                <c:pt idx="16">
                  <c:v>1.4479999999999999E-19</c:v>
                </c:pt>
                <c:pt idx="17">
                  <c:v>1.4759999999999999E-19</c:v>
                </c:pt>
                <c:pt idx="18">
                  <c:v>1.5039999999999999E-19</c:v>
                </c:pt>
                <c:pt idx="19">
                  <c:v>1.5320000000000001E-19</c:v>
                </c:pt>
                <c:pt idx="20">
                  <c:v>1.56E-19</c:v>
                </c:pt>
                <c:pt idx="21">
                  <c:v>1.588E-19</c:v>
                </c:pt>
                <c:pt idx="22">
                  <c:v>1.616E-19</c:v>
                </c:pt>
                <c:pt idx="23">
                  <c:v>1.6439999999999999E-19</c:v>
                </c:pt>
                <c:pt idx="24">
                  <c:v>1.6719999999999999E-19</c:v>
                </c:pt>
                <c:pt idx="25">
                  <c:v>1.6999999999999999E-19</c:v>
                </c:pt>
              </c:numCache>
            </c:numRef>
          </c:xVal>
          <c:yVal>
            <c:numRef>
              <c:f>'Hoja 1'!$J$21:$J$46</c:f>
              <c:numCache>
                <c:formatCode>General</c:formatCode>
                <c:ptCount val="26"/>
                <c:pt idx="0">
                  <c:v>5.0099132363340342</c:v>
                </c:pt>
                <c:pt idx="1">
                  <c:v>4.5751732367377489</c:v>
                </c:pt>
                <c:pt idx="2">
                  <c:v>3.5686965786924887</c:v>
                </c:pt>
                <c:pt idx="3">
                  <c:v>3.3200731454119161</c:v>
                </c:pt>
                <c:pt idx="4">
                  <c:v>3.5114849546254194</c:v>
                </c:pt>
                <c:pt idx="5">
                  <c:v>4.0106787280183136</c:v>
                </c:pt>
                <c:pt idx="6">
                  <c:v>5.615122094274084</c:v>
                </c:pt>
                <c:pt idx="7">
                  <c:v>6.1085964175383509</c:v>
                </c:pt>
                <c:pt idx="8">
                  <c:v>3.0913194229237098</c:v>
                </c:pt>
                <c:pt idx="9">
                  <c:v>5.1343167190943673</c:v>
                </c:pt>
                <c:pt idx="10">
                  <c:v>2.2036482276470104</c:v>
                </c:pt>
                <c:pt idx="11">
                  <c:v>1.6256983087676873</c:v>
                </c:pt>
                <c:pt idx="12">
                  <c:v>4.2755961379165663</c:v>
                </c:pt>
                <c:pt idx="13">
                  <c:v>4.5718061413709057</c:v>
                </c:pt>
                <c:pt idx="14">
                  <c:v>6.4419396283281332</c:v>
                </c:pt>
                <c:pt idx="15">
                  <c:v>5.5206053090200129</c:v>
                </c:pt>
                <c:pt idx="16">
                  <c:v>4.0393646278240567</c:v>
                </c:pt>
                <c:pt idx="17">
                  <c:v>5.3993588223788951</c:v>
                </c:pt>
                <c:pt idx="18">
                  <c:v>3.4102251568617419</c:v>
                </c:pt>
                <c:pt idx="19">
                  <c:v>3.4639336522009394</c:v>
                </c:pt>
                <c:pt idx="20">
                  <c:v>6.9413376941656368</c:v>
                </c:pt>
                <c:pt idx="21">
                  <c:v>2.472251872932179</c:v>
                </c:pt>
                <c:pt idx="22">
                  <c:v>3.2952861496504608</c:v>
                </c:pt>
                <c:pt idx="23">
                  <c:v>2.9505575188793669</c:v>
                </c:pt>
                <c:pt idx="24">
                  <c:v>4.4655601221480623</c:v>
                </c:pt>
                <c:pt idx="25">
                  <c:v>4.7307205290468461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F8-4BB3-8FD9-7E52DCB39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550416"/>
        <c:axId val="994200800"/>
      </c:scatterChart>
      <c:valAx>
        <c:axId val="1310550416"/>
        <c:scaling>
          <c:orientation val="minMax"/>
          <c:min val="9.0000000000000099E-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94200800"/>
        <c:crosses val="autoZero"/>
        <c:crossBetween val="midCat"/>
      </c:valAx>
      <c:valAx>
        <c:axId val="99420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1055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221059</xdr:colOff>
      <xdr:row>19</xdr:row>
      <xdr:rowOff>101600</xdr:rowOff>
    </xdr:from>
    <xdr:to>
      <xdr:col>16</xdr:col>
      <xdr:colOff>646509</xdr:colOff>
      <xdr:row>35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97AA11-8EE9-1406-87AC-61BA9B240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254000</xdr:colOff>
      <xdr:row>36</xdr:row>
      <xdr:rowOff>57150</xdr:rowOff>
    </xdr:from>
    <xdr:to>
      <xdr:col>16</xdr:col>
      <xdr:colOff>666750</xdr:colOff>
      <xdr:row>52</xdr:row>
      <xdr:rowOff>76199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2D808F-8E16-CEFC-DB24-EFE03B106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120053</xdr:colOff>
      <xdr:row>19</xdr:row>
      <xdr:rowOff>136525</xdr:rowOff>
    </xdr:from>
    <xdr:to>
      <xdr:col>22</xdr:col>
      <xdr:colOff>763983</xdr:colOff>
      <xdr:row>35</xdr:row>
      <xdr:rowOff>39687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F5AA162-6E3F-2160-E34C-3EBE36D34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R52"/>
  <sheetViews>
    <sheetView tabSelected="1" topLeftCell="E11" zoomScale="70" zoomScaleNormal="39" workbookViewId="0">
      <selection activeCell="R39" sqref="R39"/>
    </sheetView>
  </sheetViews>
  <sheetFormatPr baseColWidth="10" defaultColWidth="12.5703125" defaultRowHeight="15.75" customHeight="1" x14ac:dyDescent="0.2"/>
  <cols>
    <col min="2" max="2" width="17.42578125" customWidth="1"/>
    <col min="6" max="6" width="15" customWidth="1"/>
    <col min="7" max="7" width="15.42578125" customWidth="1"/>
    <col min="9" max="10" width="19.28515625" customWidth="1"/>
    <col min="11" max="11" width="12.5703125" customWidth="1"/>
  </cols>
  <sheetData>
    <row r="2" spans="1:18" ht="15.75" customHeight="1" thickBot="1" x14ac:dyDescent="0.25"/>
    <row r="3" spans="1:18" ht="15.75" customHeight="1" thickBot="1" x14ac:dyDescent="0.25">
      <c r="G3" s="68" t="s">
        <v>0</v>
      </c>
      <c r="H3" s="69"/>
      <c r="I3" s="70"/>
      <c r="J3" s="74" t="s">
        <v>26</v>
      </c>
      <c r="K3" s="75"/>
      <c r="L3" s="76"/>
      <c r="M3" s="77" t="s">
        <v>27</v>
      </c>
      <c r="N3" s="78"/>
      <c r="O3" s="79"/>
      <c r="Q3" s="77" t="s">
        <v>36</v>
      </c>
      <c r="R3" s="79"/>
    </row>
    <row r="4" spans="1:18" ht="15.75" customHeight="1" x14ac:dyDescent="0.2">
      <c r="B4" s="71" t="s">
        <v>39</v>
      </c>
      <c r="C4" s="72"/>
      <c r="D4" s="73"/>
      <c r="G4" s="16" t="s">
        <v>1</v>
      </c>
      <c r="H4" s="1" t="s">
        <v>29</v>
      </c>
      <c r="I4" s="17" t="s">
        <v>2</v>
      </c>
      <c r="J4" s="20" t="s">
        <v>32</v>
      </c>
      <c r="K4" s="10" t="s">
        <v>3</v>
      </c>
      <c r="L4" s="14" t="s">
        <v>17</v>
      </c>
      <c r="M4" s="25" t="s">
        <v>28</v>
      </c>
      <c r="N4" s="11" t="s">
        <v>31</v>
      </c>
      <c r="O4" s="26" t="s">
        <v>33</v>
      </c>
      <c r="P4" s="13"/>
      <c r="Q4" s="80" t="s">
        <v>34</v>
      </c>
      <c r="R4" s="81" t="s">
        <v>35</v>
      </c>
    </row>
    <row r="5" spans="1:18" ht="15.75" customHeight="1" x14ac:dyDescent="0.2">
      <c r="A5" s="45"/>
      <c r="B5" s="62" t="s">
        <v>38</v>
      </c>
      <c r="C5" s="63"/>
      <c r="D5" s="64"/>
      <c r="G5" s="18">
        <v>1</v>
      </c>
      <c r="H5" s="2">
        <v>56.65</v>
      </c>
      <c r="I5" s="19">
        <v>10</v>
      </c>
      <c r="J5" s="21">
        <f>C16*C15/H5</f>
        <v>2.1182700794351281E-4</v>
      </c>
      <c r="K5" s="12">
        <f>(9/2)*C7*J5/((C8-C9)*C13)</f>
        <v>2.1377394735475837E-9</v>
      </c>
      <c r="L5" s="39">
        <f>4*C11*K5^(3/2)*(C8-C9)*C13*C12/(3*I5)</f>
        <v>1.6891994731234445E-15</v>
      </c>
      <c r="M5" s="27">
        <f>ABS(C12/(H5)^2*H17)</f>
        <v>6.2320390686529223E-7</v>
      </c>
      <c r="N5" s="15">
        <f>ABS(1/(2*(C17*J5)^1/2)*C17*M5)</f>
        <v>2.9420417769932335E-3</v>
      </c>
      <c r="O5" s="28">
        <f>SQRT((3*L5*N5)^2/K5+(L5/I5*I17)^2)</f>
        <v>3.2245875691157835E-13</v>
      </c>
      <c r="Q5" s="27">
        <f t="shared" ref="Q5:Q16" si="0">L5-O5</f>
        <v>-3.2076955743845493E-13</v>
      </c>
      <c r="R5" s="82">
        <f t="shared" ref="R5:R16" si="1">L5+O5</f>
        <v>3.2414795638470177E-13</v>
      </c>
    </row>
    <row r="6" spans="1:18" ht="15.75" customHeight="1" x14ac:dyDescent="0.2">
      <c r="B6" s="16" t="s">
        <v>4</v>
      </c>
      <c r="C6" s="1" t="s">
        <v>5</v>
      </c>
      <c r="D6" s="17" t="s">
        <v>6</v>
      </c>
      <c r="G6" s="18">
        <v>2</v>
      </c>
      <c r="H6" s="2">
        <v>69.13</v>
      </c>
      <c r="I6" s="19">
        <v>109</v>
      </c>
      <c r="J6" s="21">
        <f>C16*C15/H6</f>
        <v>1.7358599739621006E-4</v>
      </c>
      <c r="K6" s="12">
        <f>(9/2)*C7*J6/((C8-C9)*C13)</f>
        <v>1.7518145693110171E-9</v>
      </c>
      <c r="L6" s="40">
        <f>4*C11*K6^(3/2)*(C8-C9)*C13*C12/(3*I6)</f>
        <v>1.1496204359543101E-16</v>
      </c>
      <c r="M6" s="27">
        <f>ABS(C12/(H6)^2*H17)</f>
        <v>4.1850136794495899E-7</v>
      </c>
      <c r="N6" s="15">
        <f>ABS(1/(2*(C17*J6)^1/2)*C17*M6)</f>
        <v>2.410916630502918E-3</v>
      </c>
      <c r="O6" s="28">
        <f>SQRT((3*L6*N6)^2/K6+(L6/I6*I17)^2)</f>
        <v>1.9866156908566924E-14</v>
      </c>
      <c r="Q6" s="27">
        <f t="shared" si="0"/>
        <v>-1.9751194864971493E-14</v>
      </c>
      <c r="R6" s="82">
        <f t="shared" si="1"/>
        <v>1.9981118952162355E-14</v>
      </c>
    </row>
    <row r="7" spans="1:18" ht="15.75" customHeight="1" x14ac:dyDescent="0.2">
      <c r="B7" s="46" t="s">
        <v>7</v>
      </c>
      <c r="C7" s="3">
        <f>1.83*10^-5</f>
        <v>1.8300000000000001E-5</v>
      </c>
      <c r="D7" s="47" t="s">
        <v>8</v>
      </c>
      <c r="G7" s="18">
        <v>3</v>
      </c>
      <c r="H7" s="2">
        <v>28</v>
      </c>
      <c r="I7" s="19">
        <v>61</v>
      </c>
      <c r="J7" s="21">
        <f>C16*C15/H7</f>
        <v>4.285714285714286E-4</v>
      </c>
      <c r="K7" s="12">
        <f>(9/2)*C7*J7/((C8-C9)*C13)</f>
        <v>4.3251050420168074E-9</v>
      </c>
      <c r="L7" s="40">
        <f>4*C11*K7^(3/2)*(C8-C9)*C13*C12/(3*I7)</f>
        <v>7.9691853253624284E-16</v>
      </c>
      <c r="M7" s="27">
        <f>ABS(C12/(H7)^2*H17)</f>
        <v>2.5510204081632657E-6</v>
      </c>
      <c r="N7" s="15">
        <f>ABS(1/(2*(C17*J7)^1/2)*C17*M7)</f>
        <v>5.9523809523809538E-3</v>
      </c>
      <c r="O7" s="28">
        <f>SQRT((3*L7*N7)^2/K7+(L7/I7*I17)^2)</f>
        <v>2.1638521183237024E-13</v>
      </c>
      <c r="Q7" s="27">
        <f t="shared" si="0"/>
        <v>-2.1558829329983401E-13</v>
      </c>
      <c r="R7" s="82">
        <f t="shared" si="1"/>
        <v>2.1718213036490648E-13</v>
      </c>
    </row>
    <row r="8" spans="1:18" ht="15.75" customHeight="1" x14ac:dyDescent="0.2">
      <c r="B8" s="18" t="s">
        <v>9</v>
      </c>
      <c r="C8" s="2">
        <v>0.81699999999999995</v>
      </c>
      <c r="D8" s="48" t="s">
        <v>10</v>
      </c>
      <c r="G8" s="18">
        <v>4</v>
      </c>
      <c r="H8" s="2">
        <v>114.75</v>
      </c>
      <c r="I8" s="19">
        <v>5</v>
      </c>
      <c r="J8" s="21">
        <f>C16*C15/H8</f>
        <v>1.0457516339869282E-4</v>
      </c>
      <c r="K8" s="12">
        <f>(9/2)*C7*J8/((C8-C9)*C13)</f>
        <v>1.0553633217993082E-9</v>
      </c>
      <c r="L8" s="40">
        <f>4*C11*K8^(3/2)*(C8-C9)*C13*C12/(3*I8)</f>
        <v>1.1718762777569767E-15</v>
      </c>
      <c r="M8" s="27">
        <f>ABS(C12/(H8)^2*H17)</f>
        <v>1.5188839999810141E-7</v>
      </c>
      <c r="N8" s="15">
        <f>ABS(1/(2*(C17*J8)^1/2)*C17*M8)</f>
        <v>1.4524328249818448E-3</v>
      </c>
      <c r="O8" s="28">
        <f>SQRT((3*L8*N8)^2/K8+(L8/I8*I17)^2)</f>
        <v>1.5718185870231393E-13</v>
      </c>
      <c r="Q8" s="27">
        <f t="shared" si="0"/>
        <v>-1.5600998242455696E-13</v>
      </c>
      <c r="R8" s="82">
        <f t="shared" si="1"/>
        <v>1.5835373498007089E-13</v>
      </c>
    </row>
    <row r="9" spans="1:18" ht="15.75" customHeight="1" x14ac:dyDescent="0.2">
      <c r="B9" s="18" t="s">
        <v>11</v>
      </c>
      <c r="C9" s="2">
        <v>1E-3</v>
      </c>
      <c r="D9" s="48" t="s">
        <v>10</v>
      </c>
      <c r="G9" s="18">
        <v>5</v>
      </c>
      <c r="H9" s="2">
        <v>6.4</v>
      </c>
      <c r="I9" s="19">
        <v>50</v>
      </c>
      <c r="J9" s="21">
        <f>C16*C15/H9</f>
        <v>1.8749999999999999E-3</v>
      </c>
      <c r="K9" s="12">
        <f>(9/2)*C7*J9/((C8-C9)*C13)</f>
        <v>1.8922334558823531E-8</v>
      </c>
      <c r="L9" s="40">
        <f>4*C11*K9^(3/2)*(C8-C9)*C13*C12/(3*I9)</f>
        <v>8.8969437189529275E-15</v>
      </c>
      <c r="M9" s="27">
        <f>ABS(C12/(H9)^2*H17)</f>
        <v>4.8828124999999989E-5</v>
      </c>
      <c r="N9" s="15">
        <f>ABS(1/(2*(C17*J9)^1/2)*C17*M9)</f>
        <v>2.6041666666666664E-2</v>
      </c>
      <c r="O9" s="28">
        <f>SQRT((3*L9*N9)^2/K9+(L9/I9*I17)^2)</f>
        <v>5.0529327434931399E-12</v>
      </c>
      <c r="Q9" s="27">
        <f t="shared" si="0"/>
        <v>-5.0440357997741873E-12</v>
      </c>
      <c r="R9" s="82">
        <f t="shared" si="1"/>
        <v>5.0618296872120925E-12</v>
      </c>
    </row>
    <row r="10" spans="1:18" ht="15.75" customHeight="1" x14ac:dyDescent="0.2">
      <c r="B10" s="49" t="s">
        <v>23</v>
      </c>
      <c r="C10" s="2">
        <f>1.602*10^-19</f>
        <v>1.602E-19</v>
      </c>
      <c r="D10" s="50" t="s">
        <v>21</v>
      </c>
      <c r="G10" s="18">
        <v>6</v>
      </c>
      <c r="H10" s="2">
        <v>28.7</v>
      </c>
      <c r="I10" s="19">
        <v>79</v>
      </c>
      <c r="J10" s="22">
        <f>C16*C15/H10</f>
        <v>4.181184668989547E-4</v>
      </c>
      <c r="K10" s="12">
        <f>(9/2)*C7*J10/((C8-C9)*C13)</f>
        <v>4.2196146751383483E-9</v>
      </c>
      <c r="L10" s="40">
        <f>4*C11*K10^(3/2)*(C8-C9)*C13*C12/(3*I10)</f>
        <v>5.9296747468948444E-16</v>
      </c>
      <c r="M10" s="27">
        <f>ABS(C12/(H10)^2*H17)</f>
        <v>2.4280979494712821E-6</v>
      </c>
      <c r="N10" s="15">
        <f>ABS(1/(2*(C17*J10)^1/2)*C17*M10)</f>
        <v>5.8072009291521504E-3</v>
      </c>
      <c r="O10" s="28">
        <f>SQRT((3*L10*N10)^2/K10+(L10/I10*I17)^2)</f>
        <v>1.5903129195344042E-13</v>
      </c>
      <c r="Q10" s="27">
        <f t="shared" si="0"/>
        <v>-1.5843832447875093E-13</v>
      </c>
      <c r="R10" s="82">
        <f t="shared" si="1"/>
        <v>1.5962425942812991E-13</v>
      </c>
    </row>
    <row r="11" spans="1:18" ht="15.75" customHeight="1" x14ac:dyDescent="0.2">
      <c r="B11" s="49" t="s">
        <v>19</v>
      </c>
      <c r="C11" s="2">
        <v>3.1415926535900001</v>
      </c>
      <c r="D11" s="50" t="s">
        <v>20</v>
      </c>
      <c r="G11" s="18">
        <v>7</v>
      </c>
      <c r="H11" s="2">
        <v>39.659999999999997</v>
      </c>
      <c r="I11" s="19">
        <v>173</v>
      </c>
      <c r="J11" s="21">
        <f>C16*C15/H11</f>
        <v>3.0257186081694405E-4</v>
      </c>
      <c r="K11" s="12">
        <f>(9/2)*C7*J11/((C8-C9)*C13)</f>
        <v>3.0535285218474689E-9</v>
      </c>
      <c r="L11" s="40">
        <f>4*C11*K11^(3/2)*(C8-C9)*C13*C12/(3*I11)</f>
        <v>1.6668850084116009E-16</v>
      </c>
      <c r="M11" s="27">
        <f>ABS(C12/(H11)^2*H17)</f>
        <v>1.2715240410865023E-6</v>
      </c>
      <c r="N11" s="15">
        <f>ABS(1/(2*(C17*J11)^1/2)*C17*M11)</f>
        <v>4.2023869557908898E-3</v>
      </c>
      <c r="O11" s="28">
        <f>SQRT((3*L11*N11)^2/K11+(L11/I11*I17)^2)</f>
        <v>3.8029616501197478E-14</v>
      </c>
      <c r="Q11" s="27">
        <f t="shared" si="0"/>
        <v>-3.7862928000356318E-14</v>
      </c>
      <c r="R11" s="82">
        <f t="shared" si="1"/>
        <v>3.8196305002038638E-14</v>
      </c>
    </row>
    <row r="12" spans="1:18" ht="15.75" customHeight="1" x14ac:dyDescent="0.2">
      <c r="B12" s="18" t="s">
        <v>12</v>
      </c>
      <c r="C12" s="4">
        <f>5*10^-3</f>
        <v>5.0000000000000001E-3</v>
      </c>
      <c r="D12" s="50" t="s">
        <v>16</v>
      </c>
      <c r="G12" s="18">
        <v>8</v>
      </c>
      <c r="H12" s="2">
        <v>10.6</v>
      </c>
      <c r="I12" s="19">
        <v>53</v>
      </c>
      <c r="J12" s="21">
        <f>C16*C15/H12</f>
        <v>1.1320754716981133E-3</v>
      </c>
      <c r="K12" s="12">
        <f>(9/2)*C7*J12/((C8-C9)*C13)</f>
        <v>1.142480577136515E-8</v>
      </c>
      <c r="L12" s="40">
        <f>4*C11*K12^(3/2)*(C8-C9)*C13*C12/(3*I12)</f>
        <v>3.9377318743614343E-15</v>
      </c>
      <c r="M12" s="27">
        <f>ABS(C12/(H12)^2*H17)</f>
        <v>1.7799928800284801E-5</v>
      </c>
      <c r="N12" s="15">
        <f>ABS(1/(2*(C17*J12)^1/2)*C17*M12)</f>
        <v>1.5723270440251576E-2</v>
      </c>
      <c r="O12" s="28">
        <f>SQRT((3*L12*N12)^2/K12+(L12/I12*I17)^2)</f>
        <v>1.7377442932840547E-12</v>
      </c>
      <c r="Q12" s="27">
        <f t="shared" si="0"/>
        <v>-1.7338065614096932E-12</v>
      </c>
      <c r="R12" s="82">
        <f t="shared" si="1"/>
        <v>1.7416820251584161E-12</v>
      </c>
    </row>
    <row r="13" spans="1:18" ht="15.75" customHeight="1" x14ac:dyDescent="0.2">
      <c r="B13" s="18" t="s">
        <v>13</v>
      </c>
      <c r="C13" s="4">
        <v>10</v>
      </c>
      <c r="D13" s="50" t="s">
        <v>18</v>
      </c>
      <c r="G13" s="18">
        <v>9</v>
      </c>
      <c r="H13" s="2">
        <v>10.28</v>
      </c>
      <c r="I13" s="19">
        <v>56</v>
      </c>
      <c r="J13" s="21">
        <f>C16*C15/H13</f>
        <v>1.1673151750972765E-3</v>
      </c>
      <c r="K13" s="12">
        <f>(9/2)*C7*J13/((C8-C9)*C13)</f>
        <v>1.1780441748683912E-8</v>
      </c>
      <c r="L13" s="40">
        <f>4*C11*K13^(3/2)*(C8-C9)*C13*C12/(3*I13)</f>
        <v>3.9021423608125531E-15</v>
      </c>
      <c r="M13" s="27">
        <f>ABS(C12/(H13)^2*H17)</f>
        <v>1.8925343305727571E-5</v>
      </c>
      <c r="N13" s="15">
        <f>ABS(1/(2*(C17*J13)^1/2)*C17*M13)</f>
        <v>1.621271076523995E-2</v>
      </c>
      <c r="O13" s="28">
        <f>SQRT((3*L13*N13)^2/K13+(L13/I13*I17)^2)</f>
        <v>1.7486351912419393E-12</v>
      </c>
      <c r="Q13" s="27">
        <f t="shared" si="0"/>
        <v>-1.7447330488811267E-12</v>
      </c>
      <c r="R13" s="82">
        <f t="shared" si="1"/>
        <v>1.7525373336027519E-12</v>
      </c>
    </row>
    <row r="14" spans="1:18" ht="15.75" customHeight="1" x14ac:dyDescent="0.2">
      <c r="B14" s="65" t="s">
        <v>40</v>
      </c>
      <c r="C14" s="66"/>
      <c r="D14" s="67"/>
      <c r="G14" s="18">
        <v>10</v>
      </c>
      <c r="H14" s="2">
        <v>6.9</v>
      </c>
      <c r="I14" s="19">
        <v>38</v>
      </c>
      <c r="J14" s="21">
        <f>C16*C15/H14</f>
        <v>1.7391304347826085E-3</v>
      </c>
      <c r="K14" s="12">
        <f>(9/2)*C7*J14/((C8-C9)*C13)</f>
        <v>1.7551150895140664E-8</v>
      </c>
      <c r="L14" s="40">
        <f>4*C11*K14^(3/2)*(C8-C9)*C13*C12/(3*I14)</f>
        <v>1.0457396522590743E-14</v>
      </c>
      <c r="M14" s="27">
        <f>ABS(C12/(H14)^2*H17)</f>
        <v>4.2007981516488134E-5</v>
      </c>
      <c r="N14" s="15">
        <f>ABS(1/(2*(C17*J14)^1/2)*C17*M14)</f>
        <v>2.4154589371980676E-2</v>
      </c>
      <c r="O14" s="28">
        <f>SQRT((3*L14*N14)^2/K14+(L14/I14*I17)^2)</f>
        <v>5.7199429071272475E-12</v>
      </c>
      <c r="Q14" s="27">
        <f t="shared" si="0"/>
        <v>-5.7094855106046566E-12</v>
      </c>
      <c r="R14" s="82">
        <f t="shared" si="1"/>
        <v>5.7304003036498384E-12</v>
      </c>
    </row>
    <row r="15" spans="1:18" ht="15.75" customHeight="1" x14ac:dyDescent="0.2">
      <c r="B15" s="51" t="s">
        <v>24</v>
      </c>
      <c r="C15" s="6">
        <v>6</v>
      </c>
      <c r="D15" s="52" t="s">
        <v>14</v>
      </c>
      <c r="G15" s="18">
        <v>11</v>
      </c>
      <c r="H15" s="2">
        <v>14.67</v>
      </c>
      <c r="I15" s="19">
        <v>61</v>
      </c>
      <c r="J15" s="21">
        <f>C16*C15/H15</f>
        <v>8.1799591002044991E-4</v>
      </c>
      <c r="K15" s="12">
        <f>(9/2)*C7*J15/((C8-C9)*C13)</f>
        <v>8.2551425478166734E-9</v>
      </c>
      <c r="L15" s="40">
        <f>4*C11*K15^(3/2)*(C8-C9)*C13*C12/(3*I15)</f>
        <v>2.1013858464789083E-15</v>
      </c>
      <c r="M15" s="27">
        <f>ABS(C12/(H15)^2*H17)</f>
        <v>9.2932959556970008E-6</v>
      </c>
      <c r="N15" s="15">
        <f>ABS(1/(2*(C17*J15)^1/2)*C17*M15)</f>
        <v>1.1361054305839585E-2</v>
      </c>
      <c r="O15" s="28">
        <f>SQRT((3*L15*N15)^2/K15+(L15/I15*I17)^2)</f>
        <v>7.8828526493005111E-13</v>
      </c>
      <c r="Q15" s="27">
        <f t="shared" si="0"/>
        <v>-7.8618387908357218E-13</v>
      </c>
      <c r="R15" s="82">
        <f t="shared" si="1"/>
        <v>7.9038665077653005E-13</v>
      </c>
    </row>
    <row r="16" spans="1:18" ht="15.75" customHeight="1" thickBot="1" x14ac:dyDescent="0.25">
      <c r="B16" s="53" t="s">
        <v>15</v>
      </c>
      <c r="C16" s="7">
        <f>2*10^-3</f>
        <v>2E-3</v>
      </c>
      <c r="D16" s="54" t="s">
        <v>16</v>
      </c>
      <c r="G16" s="18">
        <v>12</v>
      </c>
      <c r="H16" s="2">
        <v>3.67</v>
      </c>
      <c r="I16" s="19">
        <v>49</v>
      </c>
      <c r="J16" s="23">
        <f>C16*C15/H16</f>
        <v>3.2697547683923707E-3</v>
      </c>
      <c r="K16" s="24">
        <f>(9/2)*C7*J16/((C8-C9)*C13)</f>
        <v>3.2998076614842125E-8</v>
      </c>
      <c r="L16" s="41">
        <f>4*C11*K16^(3/2)*(C8-C9)*C13*C12/(3*I16)</f>
        <v>2.090670697035501E-14</v>
      </c>
      <c r="M16" s="29">
        <f>ABS(C12/(H16)^2*H17)</f>
        <v>1.4849022563089787E-4</v>
      </c>
      <c r="N16" s="30">
        <f>ABS(1/(2*(C17*J16)^1/2)*C17*M16)</f>
        <v>4.5413260672116255E-2</v>
      </c>
      <c r="O16" s="31">
        <f>SQRT((3*L16*N16)^2/K16+(L16/I16*I17)^2)</f>
        <v>1.5679971191996246E-11</v>
      </c>
      <c r="Q16" s="29">
        <f t="shared" si="0"/>
        <v>-1.5659064485025892E-11</v>
      </c>
      <c r="R16" s="83">
        <f t="shared" si="1"/>
        <v>1.57008778989666E-11</v>
      </c>
    </row>
    <row r="17" spans="2:10" ht="15.75" customHeight="1" thickBot="1" x14ac:dyDescent="0.25">
      <c r="B17" s="55" t="s">
        <v>30</v>
      </c>
      <c r="C17" s="56">
        <f>9/2*C7/((C8-C9)*C13)</f>
        <v>1.0091911764705884E-5</v>
      </c>
      <c r="D17" s="57" t="s">
        <v>20</v>
      </c>
      <c r="F17" s="32" t="s">
        <v>25</v>
      </c>
      <c r="G17" s="33"/>
      <c r="H17" s="34">
        <v>0.4</v>
      </c>
      <c r="I17" s="35">
        <v>3</v>
      </c>
    </row>
    <row r="18" spans="2:10" ht="15.75" customHeight="1" x14ac:dyDescent="0.2">
      <c r="B18" s="5"/>
      <c r="C18" s="5"/>
    </row>
    <row r="19" spans="2:10" ht="15.75" customHeight="1" thickBot="1" x14ac:dyDescent="0.25">
      <c r="B19" s="5"/>
    </row>
    <row r="20" spans="2:10" ht="15.75" customHeight="1" x14ac:dyDescent="0.2">
      <c r="B20" s="5"/>
      <c r="G20" s="36" t="s">
        <v>22</v>
      </c>
      <c r="H20" s="42" t="s">
        <v>37</v>
      </c>
      <c r="I20" s="42" t="s">
        <v>46</v>
      </c>
      <c r="J20" s="58" t="s">
        <v>41</v>
      </c>
    </row>
    <row r="21" spans="2:10" ht="15.75" customHeight="1" x14ac:dyDescent="0.2">
      <c r="B21" s="5"/>
      <c r="G21" s="37">
        <f>(1+0*0.7/15)*10^-19</f>
        <v>9.9999999999999998E-20</v>
      </c>
      <c r="H21" s="9" cm="1">
        <f t="array" ref="H21">ABS(SUMPRODUCT((L5:L16/G21-ROUND(L5:L16/G21+0.5,0))^2))</f>
        <v>2.9828649390387598</v>
      </c>
      <c r="I21" s="8" cm="1">
        <f t="array" ref="I21">ABS(SUMPRODUCT((Q5:Q16/G21-ROUND(Q5:Q16/G21+0.5,0))^2))</f>
        <v>5.8891910636335227</v>
      </c>
      <c r="J21" s="43" cm="1">
        <f t="array" ref="J21">ABS(SUMPRODUCT((R5:R16/G21-ROUND(R5:R16/G21+0.5,0))^2))</f>
        <v>5.0099132363340342</v>
      </c>
    </row>
    <row r="22" spans="2:10" ht="15.75" customHeight="1" x14ac:dyDescent="0.2">
      <c r="B22" s="5"/>
      <c r="G22" s="37">
        <f>(1+1*0.7/25)*10^-19</f>
        <v>1.0279999999999999E-19</v>
      </c>
      <c r="H22" s="9" cm="1">
        <f t="array" ref="H22">ABS(SUMPRODUCT((L5:L16/G22-ROUND(L5:L16/G22+0.5,0))^2))</f>
        <v>3.857477652835466</v>
      </c>
      <c r="I22" s="9" cm="1">
        <f t="array" ref="I22">ABS(SUMPRODUCT((Q5:Q16/G22-ROUND(Q5:Q16/G22+0.5,0))^2))</f>
        <v>2.5706934594151596</v>
      </c>
      <c r="J22" s="28" cm="1">
        <f t="array" ref="J22">ABS(SUMPRODUCT((R5:R16/G22-ROUND(R5:R16/G22+0.5,0))^2))</f>
        <v>4.5751732367377489</v>
      </c>
    </row>
    <row r="23" spans="2:10" ht="15.75" customHeight="1" x14ac:dyDescent="0.2">
      <c r="G23" s="37">
        <f>(1+2*0.7/25)*10^-19</f>
        <v>1.056E-19</v>
      </c>
      <c r="H23" s="9" cm="1">
        <f t="array" ref="H23">ABS(SUMPRODUCT((L5:L16/G23-ROUND(L5:L16/G23+0.5,0))^2))</f>
        <v>5.5574422691643948</v>
      </c>
      <c r="I23" s="9" cm="1">
        <f t="array" ref="I23">ABS(SUMPRODUCT((Q5:Q16/G23-ROUND(Q5:Q16/G23+0.5,0))^2))</f>
        <v>4.2866694226677016</v>
      </c>
      <c r="J23" s="28" cm="1">
        <f t="array" ref="J23">ABS(SUMPRODUCT((R5:R16/G23-ROUND(R5:R16/G23+0.5,0))^2))</f>
        <v>3.5686965786924887</v>
      </c>
    </row>
    <row r="24" spans="2:10" ht="15.75" customHeight="1" x14ac:dyDescent="0.2">
      <c r="G24" s="37">
        <f>(1+3*0.7/25)*10^-19</f>
        <v>1.084E-19</v>
      </c>
      <c r="H24" s="9" cm="1">
        <f t="array" ref="H24">ABS(SUMPRODUCT((L5:L16/G24-ROUND(L5:L16/G24+0.5,0))^2))</f>
        <v>4.1382461471802863</v>
      </c>
      <c r="I24" s="9" cm="1">
        <f t="array" ref="I24">ABS(SUMPRODUCT((Q5:Q16/G24-ROUND(Q5:Q16/G24+0.5,0))^2))</f>
        <v>3.7830653839124646</v>
      </c>
      <c r="J24" s="28" cm="1">
        <f t="array" ref="J24">ABS(SUMPRODUCT((R5:R16/G24-ROUND(R5:R16/G24+0.5,0))^2))</f>
        <v>3.3200731454119161</v>
      </c>
    </row>
    <row r="25" spans="2:10" ht="15.75" customHeight="1" x14ac:dyDescent="0.2">
      <c r="G25" s="37">
        <f>(1+4*0.7/25)*10^-19</f>
        <v>1.1120000000000001E-19</v>
      </c>
      <c r="H25" s="9" cm="1">
        <f t="array" ref="H25">ABS(SUMPRODUCT((L5:L16/G25-ROUND(L5:L16/G25+0.5,0))^2))</f>
        <v>3.2828762285659914</v>
      </c>
      <c r="I25" s="9" cm="1">
        <f t="array" ref="I25">ABS(SUMPRODUCT((Q5:Q16/G25-ROUND(Q5:Q16/G25+0.5,0))^2))</f>
        <v>3.584729204333581</v>
      </c>
      <c r="J25" s="28" cm="1">
        <f t="array" ref="J25">ABS(SUMPRODUCT((R5:R16/G25-ROUND(R5:R16/G25+0.5,0))^2))</f>
        <v>3.5114849546254194</v>
      </c>
    </row>
    <row r="26" spans="2:10" ht="15.75" customHeight="1" x14ac:dyDescent="0.2">
      <c r="G26" s="37">
        <f>(1+5*0.7/25)*10^-19</f>
        <v>1.14E-19</v>
      </c>
      <c r="H26" s="9" cm="1">
        <f t="array" ref="H26">ABS(SUMPRODUCT((L5:L16/G26-ROUND(L5:L16/G26+0.5,0))^2))</f>
        <v>4.4978354407077097</v>
      </c>
      <c r="I26" s="9" cm="1">
        <f t="array" ref="I26">ABS(SUMPRODUCT((Q5:Q16/G26-ROUND(Q5:Q16/G26+0.5,0))^2))</f>
        <v>4.5052614288174135</v>
      </c>
      <c r="J26" s="28" cm="1">
        <f t="array" ref="J26">ABS(SUMPRODUCT((R5:R16/G26-ROUND(R5:R16/G26+0.5,0))^2))</f>
        <v>4.0106787280183136</v>
      </c>
    </row>
    <row r="27" spans="2:10" ht="15.75" customHeight="1" x14ac:dyDescent="0.2">
      <c r="G27" s="37">
        <f>(1+6*0.7/25)*10^-19</f>
        <v>1.168E-19</v>
      </c>
      <c r="H27" s="9" cm="1">
        <f t="array" ref="H27">SUMPRODUCT((L5:L16/G27-ROUND(L5:L16/G27+0.5,0))^2)</f>
        <v>3.8779843369651021</v>
      </c>
      <c r="I27" s="9" cm="1">
        <f t="array" ref="I27">ABS(SUMPRODUCT((Q5:Q16/G27-ROUND(Q5:Q16/G27+0.5,0))^2))</f>
        <v>5.0359956446459631</v>
      </c>
      <c r="J27" s="28" cm="1">
        <f t="array" ref="J27">ABS(SUMPRODUCT((R5:R16/G27-ROUND(R5:R16/G27+0.5,0))^2))</f>
        <v>5.615122094274084</v>
      </c>
    </row>
    <row r="28" spans="2:10" ht="15.75" customHeight="1" x14ac:dyDescent="0.2">
      <c r="G28" s="37">
        <f>(1+7*0.7/25)*10^-19</f>
        <v>1.196E-19</v>
      </c>
      <c r="H28" s="9" cm="1">
        <f t="array" ref="H28">ABS(SUMPRODUCT((L5:L16/G28-ROUND(L5:L16/G28+0.5,0))^2))</f>
        <v>5.1125539223378391</v>
      </c>
      <c r="I28" s="9" cm="1">
        <f t="array" ref="I28">ABS(SUMPRODUCT((Q5:Q16/G28-ROUND(Q5:Q16/G28+0.5,0))^2))</f>
        <v>4.7138100397172664</v>
      </c>
      <c r="J28" s="28" cm="1">
        <f t="array" ref="J28">ABS(SUMPRODUCT((R5:R16/G28-ROUND(R5:R16/G28+0.5,0))^2))</f>
        <v>6.1085964175383509</v>
      </c>
    </row>
    <row r="29" spans="2:10" ht="15.75" customHeight="1" x14ac:dyDescent="0.2">
      <c r="G29" s="37">
        <f>(1+8*0.7/25)*10^-19</f>
        <v>1.2239999999999999E-19</v>
      </c>
      <c r="H29" s="9" cm="1">
        <f t="array" ref="H29">ABS(SUMPRODUCT((L5:L16/G29-ROUND(L5:L16/G29+0.5,0))^2))</f>
        <v>5.1576563326390632</v>
      </c>
      <c r="I29" s="9" cm="1">
        <f t="array" ref="I29">ABS(SUMPRODUCT((Q5:Q16/G29-ROUND(Q5:Q16/G29+0.5,0))^2))</f>
        <v>5.0882608701331478</v>
      </c>
      <c r="J29" s="28" cm="1">
        <f t="array" ref="J29">ABS(SUMPRODUCT((R5:R16/G29-ROUND(R5:R16/G29+0.5,0))^2))</f>
        <v>3.0913194229237098</v>
      </c>
    </row>
    <row r="30" spans="2:10" ht="15.75" customHeight="1" x14ac:dyDescent="0.2">
      <c r="G30" s="37">
        <f>(1+9*0.7/25)*10^-19</f>
        <v>1.2519999999999999E-19</v>
      </c>
      <c r="H30" s="9" cm="1">
        <f t="array" ref="H30">ABS(SUMPRODUCT((L5:L16/G30-ROUND(L5:L16/G30+0.5,0))^2))</f>
        <v>6.1558214527243891</v>
      </c>
      <c r="I30" s="9" cm="1">
        <f t="array" ref="I30">ABS(SUMPRODUCT((Q5:Q16/G30-ROUND(Q5:Q16/G30+0.5,0))^2))</f>
        <v>3.2347659470855405</v>
      </c>
      <c r="J30" s="28" cm="1">
        <f t="array" ref="J30">ABS(SUMPRODUCT((R5:R16/G30-ROUND(R5:R16/G30+0.5,0))^2))</f>
        <v>5.1343167190943673</v>
      </c>
    </row>
    <row r="31" spans="2:10" ht="15.75" customHeight="1" x14ac:dyDescent="0.2">
      <c r="G31" s="37">
        <f>(1+10*0.7/25)*10^-19</f>
        <v>1.2799999999999999E-19</v>
      </c>
      <c r="H31" s="9" cm="1">
        <f t="array" ref="H31">ABS(SUMPRODUCT((L5:L16/G31-ROUND(L5:L16/G31+0.5,0))^2))</f>
        <v>4.2257541504203084</v>
      </c>
      <c r="I31" s="9" cm="1">
        <f t="array" ref="I31">ABS(SUMPRODUCT((Q5:Q16/G31-ROUND(Q5:Q16/G31+0.5,0))^2))</f>
        <v>4.1620490938751109</v>
      </c>
      <c r="J31" s="28" cm="1">
        <f t="array" ref="J31">ABS(SUMPRODUCT((R5:R16/G31-ROUND(R5:R16/G31+0.5,0))^2))</f>
        <v>2.2036482276470104</v>
      </c>
    </row>
    <row r="32" spans="2:10" ht="15.75" customHeight="1" x14ac:dyDescent="0.2">
      <c r="G32" s="61">
        <f>(1+11*0.7/25)*10^-19</f>
        <v>1.3080000000000001E-19</v>
      </c>
      <c r="H32" s="9" cm="1">
        <f t="array" ref="H32">ABS(SUMPRODUCT((L5:L16/G32-ROUND(L5:L16/G32+0.5,0))^2))</f>
        <v>3.0866308382184662</v>
      </c>
      <c r="I32" s="9" cm="1">
        <f t="array" ref="I32">ABS(SUMPRODUCT((Q5:Q16/G32-ROUND(Q5:Q16/G32+0.5,0))^2))</f>
        <v>5.104900037263306</v>
      </c>
      <c r="J32" s="59" cm="1">
        <f t="array" ref="J32">ABS(SUMPRODUCT((R5:R16/G32-ROUND(R5:R16/G32+0.5,0))^2))</f>
        <v>1.6256983087676873</v>
      </c>
    </row>
    <row r="33" spans="7:10" ht="15.75" customHeight="1" x14ac:dyDescent="0.2">
      <c r="G33" s="37">
        <f>(1+12*0.7/25)*10^-19</f>
        <v>1.3359999999999998E-19</v>
      </c>
      <c r="H33" s="9" cm="1">
        <f t="array" ref="H33">ABS(SUMPRODUCT((L5:L16/G33-ROUND(L5:L16/G33+0.5,0))^2))</f>
        <v>2.5735782660836843</v>
      </c>
      <c r="I33" s="9" cm="1">
        <f t="array" ref="I33">ABS(SUMPRODUCT((Q5:Q16/G33-ROUND(Q5:Q16/G33+0.5,0))^2))</f>
        <v>4.8267297873690351</v>
      </c>
      <c r="J33" s="28" cm="1">
        <f t="array" ref="J33">ABS(SUMPRODUCT((R5:R16/G33-ROUND(R5:R16/G33+0.5,0))^2))</f>
        <v>4.2755961379165663</v>
      </c>
    </row>
    <row r="34" spans="7:10" ht="15.75" customHeight="1" x14ac:dyDescent="0.2">
      <c r="G34" s="37">
        <f>(1+13*0.7/25)*10^-19</f>
        <v>1.3639999999999998E-19</v>
      </c>
      <c r="H34" s="9" cm="1">
        <f t="array" ref="H34">ABS(SUMPRODUCT((L5:L16/G34-ROUND(L5:L16/G34+0.5,0))^2))</f>
        <v>6.1901185892839825</v>
      </c>
      <c r="I34" s="9" cm="1">
        <f t="array" ref="I34">ABS(SUMPRODUCT((Q5:Q16/G34-ROUND(Q5:Q16/G34+0.5,0))^2))</f>
        <v>3.1360051566457203</v>
      </c>
      <c r="J34" s="28" cm="1">
        <f t="array" ref="J34">ABS(SUMPRODUCT((R5:R16/G34-ROUND(R5:R16/G34+0.5,0))^2))</f>
        <v>4.5718061413709057</v>
      </c>
    </row>
    <row r="35" spans="7:10" ht="15.75" customHeight="1" x14ac:dyDescent="0.2">
      <c r="G35" s="37">
        <f>(1+14*0.7/25)*10^-19</f>
        <v>1.392E-19</v>
      </c>
      <c r="H35" s="9" cm="1">
        <f t="array" ref="H35">ABS(SUMPRODUCT((L5:L16/G35-ROUND(L5:L16/G35+0.5,0))^2))</f>
        <v>2.7110882675497061</v>
      </c>
      <c r="I35" s="9" cm="1">
        <f t="array" ref="I35">ABS(SUMPRODUCT((Q5:Q16/G35-ROUND(Q5:Q16/G35+0.5,0))^2))</f>
        <v>4.6905513541458124</v>
      </c>
      <c r="J35" s="28" cm="1">
        <f t="array" ref="J35">ABS(SUMPRODUCT((R5:R16/G35-ROUND(R5:R16/G35+0.5,0))^2))</f>
        <v>6.4419396283281332</v>
      </c>
    </row>
    <row r="36" spans="7:10" ht="15.75" customHeight="1" x14ac:dyDescent="0.2">
      <c r="G36" s="37">
        <f>(1+15*0.7/25)*10^-19</f>
        <v>1.42E-19</v>
      </c>
      <c r="H36" s="9" cm="1">
        <f t="array" ref="H36">ABS(SUMPRODUCT((L5:L16/G36-ROUND(L5:L16/G36+0.5,0))^2))</f>
        <v>2.5107874114261617</v>
      </c>
      <c r="I36" s="9" cm="1">
        <f t="array" ref="I36">ABS(SUMPRODUCT((Q5:Q16/G36-ROUND(Q5:Q16/G36+0.5,0))^2))</f>
        <v>4.2048474936294307</v>
      </c>
      <c r="J36" s="28" cm="1">
        <f t="array" ref="J36">ABS(SUMPRODUCT((R5:R16/G36-ROUND(R5:R16/G36+0.5,0))^2))</f>
        <v>5.5206053090200129</v>
      </c>
    </row>
    <row r="37" spans="7:10" ht="15.75" customHeight="1" x14ac:dyDescent="0.2">
      <c r="G37" s="61">
        <f>(1+16*0.7/25)*10^-19</f>
        <v>1.4479999999999999E-19</v>
      </c>
      <c r="H37" s="9" cm="1">
        <f t="array" ref="H37">ABS(SUMPRODUCT((L5:L16/G37-ROUND(L5:L16/G37+0.5,0))^2))</f>
        <v>4.4869235735973358</v>
      </c>
      <c r="I37" s="60" cm="1">
        <f t="array" ref="I37">ABS(SUMPRODUCT((Q5:Q16/G37-ROUND(Q5:Q16/G37+0.5,0))^2))</f>
        <v>1.9957766539867345</v>
      </c>
      <c r="J37" s="28" cm="1">
        <f t="array" ref="J37">ABS(SUMPRODUCT((R5:R16/G37-ROUND(R5:R16/G37+0.5,0))^2))</f>
        <v>4.0393646278240567</v>
      </c>
    </row>
    <row r="38" spans="7:10" ht="15.75" customHeight="1" x14ac:dyDescent="0.2">
      <c r="G38" s="37">
        <f>(1+17*0.7/25)*10^-19</f>
        <v>1.4759999999999999E-19</v>
      </c>
      <c r="H38" s="9" cm="1">
        <f t="array" ref="H38">ABS(SUMPRODUCT((L5:L16/G38-ROUND(L5:L16/G38+0.5,0))^2))</f>
        <v>4.818038478499032</v>
      </c>
      <c r="I38" s="9" cm="1">
        <f t="array" ref="I38">ABS(SUMPRODUCT((Q5:Q16/G38-ROUND(Q5:Q16/G38+0.5,0))^2))</f>
        <v>3.7529847689025768</v>
      </c>
      <c r="J38" s="28" cm="1">
        <f t="array" ref="J38">ABS(SUMPRODUCT((R5:R16/G38-ROUND(R5:R16/G38+0.5,0))^2))</f>
        <v>5.3993588223788951</v>
      </c>
    </row>
    <row r="39" spans="7:10" ht="15.75" customHeight="1" x14ac:dyDescent="0.2">
      <c r="G39" s="37">
        <f>(1+18*0.7/25)*10^-19</f>
        <v>1.5039999999999999E-19</v>
      </c>
      <c r="H39" s="9" cm="1">
        <f t="array" ref="H39">ABS(SUMPRODUCT((L5:L16/G39-ROUND(L5:L16/G39+0.5,0))^2))</f>
        <v>3.7257055673117296</v>
      </c>
      <c r="I39" s="9" cm="1">
        <f t="array" ref="I39">ABS(SUMPRODUCT((Q5:Q16/G39-ROUND(Q5:Q16/G39+0.5,0))^2))</f>
        <v>2.4891584476630295</v>
      </c>
      <c r="J39" s="28" cm="1">
        <f t="array" ref="J39">ABS(SUMPRODUCT((R5:R16/G39-ROUND(R5:R16/G39+0.5,0))^2))</f>
        <v>3.4102251568617419</v>
      </c>
    </row>
    <row r="40" spans="7:10" ht="15.75" customHeight="1" x14ac:dyDescent="0.2">
      <c r="G40" s="37">
        <f>(1+19*0.7/25)*10^-19</f>
        <v>1.5320000000000001E-19</v>
      </c>
      <c r="H40" s="9" cm="1">
        <f t="array" ref="H40">ABS(SUMPRODUCT((L5:L16/G40-ROUND(L5:L16/G40+0.5,0))^2))</f>
        <v>4.5669715204620287</v>
      </c>
      <c r="I40" s="9" cm="1">
        <f t="array" ref="I40">ABS(SUMPRODUCT((Q5:Q16/G40-ROUND(Q5:Q16/G40+0.5,0))^2))</f>
        <v>3.6309702983981555</v>
      </c>
      <c r="J40" s="28" cm="1">
        <f t="array" ref="J40">ABS(SUMPRODUCT((R5:R16/G40-ROUND(R5:R16/G40+0.5,0))^2))</f>
        <v>3.4639336522009394</v>
      </c>
    </row>
    <row r="41" spans="7:10" ht="15.75" customHeight="1" x14ac:dyDescent="0.2">
      <c r="G41" s="37">
        <f>(1+20*0.7/25)*10^-19</f>
        <v>1.56E-19</v>
      </c>
      <c r="H41" s="9" cm="1">
        <f t="array" ref="H41">ABS(SUMPRODUCT((L5:L16/G41-ROUND(L5:L16/G41+0.5,0))^2))</f>
        <v>4.0825130881842169</v>
      </c>
      <c r="I41" s="9" cm="1">
        <f t="array" ref="I41">ABS(SUMPRODUCT((Q5:Q16/G41-ROUND(Q5:Q16/G41+0.5,0))^2))</f>
        <v>2.6072536343234356</v>
      </c>
      <c r="J41" s="28" cm="1">
        <f t="array" ref="J41">ABS(SUMPRODUCT((R5:R16/G41-ROUND(R5:R16/G41+0.5,0))^2))</f>
        <v>6.9413376941656368</v>
      </c>
    </row>
    <row r="42" spans="7:10" ht="15.75" customHeight="1" x14ac:dyDescent="0.2">
      <c r="G42" s="37">
        <f>(1+21*0.7/25)*10^-19</f>
        <v>1.588E-19</v>
      </c>
      <c r="H42" s="9" cm="1">
        <f t="array" ref="H42">ABS(SUMPRODUCT((L5:L16/G42-ROUND(L5:L16/G42+0.5,0))^2))</f>
        <v>3.663665936067444</v>
      </c>
      <c r="I42" s="9" cm="1">
        <f t="array" ref="I42">ABS(SUMPRODUCT((Q5:Q16/G42-ROUND(Q5:Q16/G42+0.5,0))^2))</f>
        <v>5.0349651044122501</v>
      </c>
      <c r="J42" s="28" cm="1">
        <f t="array" ref="J42">ABS(SUMPRODUCT((R5:R16/G42-ROUND(R5:R16/G42+0.5,0))^2))</f>
        <v>2.472251872932179</v>
      </c>
    </row>
    <row r="43" spans="7:10" ht="15.75" customHeight="1" x14ac:dyDescent="0.2">
      <c r="G43" s="37">
        <f>(1+22*0.7/25)*10^-19</f>
        <v>1.616E-19</v>
      </c>
      <c r="H43" s="9" cm="1">
        <f t="array" ref="H43">ABS(SUMPRODUCT((L5:L16/G43-ROUND(L5:L16/G43+0.5,0))^2))</f>
        <v>3.561790786180512</v>
      </c>
      <c r="I43" s="9" cm="1">
        <f t="array" ref="I43">ABS(SUMPRODUCT((Q5:Q16/G43-ROUND(Q5:Q16/G43+0.5,0))^2))</f>
        <v>4.3708836289837718</v>
      </c>
      <c r="J43" s="28" cm="1">
        <f t="array" ref="J43">ABS(SUMPRODUCT((R5:R16/G43-ROUND(R5:R16/G43+0.5,0))^2))</f>
        <v>3.2952861496504608</v>
      </c>
    </row>
    <row r="44" spans="7:10" ht="15.75" customHeight="1" x14ac:dyDescent="0.2">
      <c r="G44" s="37">
        <f>(1+23*0.7/25)*10^-19</f>
        <v>1.6439999999999999E-19</v>
      </c>
      <c r="H44" s="9" cm="1">
        <f t="array" ref="H44">ABS(SUMPRODUCT((L5:L16/G44-ROUND(L5:L16/G44+0.5,0))^2))</f>
        <v>3.5341810262779516</v>
      </c>
      <c r="I44" s="9" cm="1">
        <f t="array" ref="I44">ABS(SUMPRODUCT((Q5:Q16/G44-ROUND(Q5:Q16/G44+0.5,0))^2))</f>
        <v>4.9621603649377937</v>
      </c>
      <c r="J44" s="28" cm="1">
        <f t="array" ref="J44">ABS(SUMPRODUCT((R5:R16/G44-ROUND(R5:R16/G44+0.5,0))^2))</f>
        <v>2.9505575188793669</v>
      </c>
    </row>
    <row r="45" spans="7:10" ht="15.75" customHeight="1" x14ac:dyDescent="0.2">
      <c r="G45" s="37">
        <f>(1+24*0.7/25)*10^-19</f>
        <v>1.6719999999999999E-19</v>
      </c>
      <c r="H45" s="9" cm="1">
        <f t="array" ref="H45">ABS(SUMPRODUCT((L5:L16/G45-ROUND(L5:L16/G45+0.5,0))^2))</f>
        <v>5.2677673916318968</v>
      </c>
      <c r="I45" s="9" cm="1">
        <f t="array" ref="I45">ABS(SUMPRODUCT((Q5:Q16/G45-ROUND(Q5:Q16/G45+0.5,0))^2))</f>
        <v>3.7718179872560871</v>
      </c>
      <c r="J45" s="28" cm="1">
        <f t="array" ref="J45">ABS(SUMPRODUCT((R5:R16/G45-ROUND(R5:R16/G45+0.5,0))^2))</f>
        <v>4.4655601221480623</v>
      </c>
    </row>
    <row r="46" spans="7:10" ht="15.75" customHeight="1" thickBot="1" x14ac:dyDescent="0.25">
      <c r="G46" s="38">
        <f>(1+25*0.7/25)*10^-19</f>
        <v>1.6999999999999999E-19</v>
      </c>
      <c r="H46" s="44" cm="1">
        <f t="array" ref="H46">ABS(SUMPRODUCT((L5:L16/G46-ROUND(L5:L16/G46+0.5,0))^2))</f>
        <v>5.010073518879981</v>
      </c>
      <c r="I46" s="44" cm="1">
        <f t="array" ref="I46">ABS(SUMPRODUCT((Q5:Q16/G46-ROUND(Q5:Q16/G46+0.5,0))^2))</f>
        <v>3.4545738172467209</v>
      </c>
      <c r="J46" s="31" cm="1">
        <f t="array" ref="J46">ABS(SUMPRODUCT((R5:R16/G46-ROUND(R5:R16/G46+0.5,0))^2))</f>
        <v>4.7307205290468461</v>
      </c>
    </row>
    <row r="49" spans="7:8" ht="15.75" customHeight="1" x14ac:dyDescent="0.2">
      <c r="G49" t="s">
        <v>42</v>
      </c>
      <c r="H49">
        <f>(1+11*0.7/25)*10^-19</f>
        <v>1.3080000000000001E-19</v>
      </c>
    </row>
    <row r="50" spans="7:8" ht="15.75" customHeight="1" x14ac:dyDescent="0.2">
      <c r="G50" t="s">
        <v>43</v>
      </c>
      <c r="H50">
        <f>(1+16*0.7/25)*10^-19</f>
        <v>1.4479999999999999E-19</v>
      </c>
    </row>
    <row r="51" spans="7:8" ht="15.75" customHeight="1" x14ac:dyDescent="0.2">
      <c r="G51" t="s">
        <v>44</v>
      </c>
      <c r="H51">
        <f>(H49+H50)/2</f>
        <v>1.378E-19</v>
      </c>
    </row>
    <row r="52" spans="7:8" ht="15.75" customHeight="1" x14ac:dyDescent="0.2">
      <c r="G52" t="s">
        <v>45</v>
      </c>
      <c r="H52">
        <f>(H50-H49)/2</f>
        <v>6.9999999999999916E-21</v>
      </c>
    </row>
  </sheetData>
  <mergeCells count="7">
    <mergeCell ref="Q3:R3"/>
    <mergeCell ref="B5:D5"/>
    <mergeCell ref="B14:D14"/>
    <mergeCell ref="G3:I3"/>
    <mergeCell ref="B4:D4"/>
    <mergeCell ref="J3:L3"/>
    <mergeCell ref="M3:O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Rita Moschini</cp:lastModifiedBy>
  <dcterms:modified xsi:type="dcterms:W3CDTF">2026-09-16T02:39:22Z</dcterms:modified>
</cp:coreProperties>
</file>